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21"/>
  <workbookPr/>
  <mc:AlternateContent xmlns:mc="http://schemas.openxmlformats.org/markup-compatibility/2006">
    <mc:Choice Requires="x15">
      <x15ac:absPath xmlns:x15ac="http://schemas.microsoft.com/office/spreadsheetml/2010/11/ac" url="/Users/joselancheros/Desktop/fdsi-2026-2/labs/FDSI_Lab02/04_Riesgos_y_Controles/"/>
    </mc:Choice>
  </mc:AlternateContent>
  <xr:revisionPtr revIDLastSave="0" documentId="13_ncr:1_{63A1005E-50FF-D849-8EC9-787878F7D8AD}" xr6:coauthVersionLast="47" xr6:coauthVersionMax="47" xr10:uidLastSave="{00000000-0000-0000-0000-000000000000}"/>
  <bookViews>
    <workbookView xWindow="0" yWindow="600" windowWidth="51200" windowHeight="21000" tabRatio="500" xr2:uid="{00000000-000D-0000-FFFF-FFFF00000000}"/>
  </bookViews>
  <sheets>
    <sheet name="Riesgo_y_Tratamiento" sheetId="1" r:id="rId1"/>
    <sheet name="Catálogo_Mitigaciones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D13" i="1" l="1"/>
  <c r="D12" i="1"/>
  <c r="D11" i="1"/>
  <c r="D10" i="1"/>
  <c r="D9" i="1"/>
  <c r="D8" i="1"/>
  <c r="D7" i="1"/>
  <c r="D6" i="1"/>
  <c r="D5" i="1"/>
  <c r="D4" i="1"/>
  <c r="D3" i="1"/>
  <c r="D2" i="1"/>
</calcChain>
</file>

<file path=xl/sharedStrings.xml><?xml version="1.0" encoding="utf-8"?>
<sst xmlns="http://schemas.openxmlformats.org/spreadsheetml/2006/main" count="197" uniqueCount="146">
  <si>
    <t>ID Amenaza</t>
  </si>
  <si>
    <t>Probabilidad (1-5)</t>
  </si>
  <si>
    <t>Impacto (1-5)</t>
  </si>
  <si>
    <t>Riesgo inherente</t>
  </si>
  <si>
    <t>Nivel</t>
  </si>
  <si>
    <t>Justificación de la valoración</t>
  </si>
  <si>
    <t>Estrategia de respuesta</t>
  </si>
  <si>
    <t>Controles propuestos (ID)</t>
  </si>
  <si>
    <t>Tipo de control</t>
  </si>
  <si>
    <t>Responsable sugerido</t>
  </si>
  <si>
    <t>Evidencia esperada</t>
  </si>
  <si>
    <t>Riesgo residual</t>
  </si>
  <si>
    <t>T01</t>
  </si>
  <si>
    <t>Alto</t>
  </si>
  <si>
    <t>Phishing/typosquatting es un vector común; el impacto es alto porque compromete la autenticidad de todo el flujo de registro.</t>
  </si>
  <si>
    <t>Mitigar</t>
  </si>
  <si>
    <t>M-001, M-006</t>
  </si>
  <si>
    <t>Preventivo</t>
  </si>
  <si>
    <t>Equipo de Seguridad/IAM</t>
  </si>
  <si>
    <t>Certificado ACM activo y política de seguridad TLS/HSTS configurada</t>
  </si>
  <si>
    <t>Bajo</t>
  </si>
  <si>
    <t>T02</t>
  </si>
  <si>
    <t>Medio</t>
  </si>
  <si>
    <t>Requiere una credencial de IAM con permisos excesivos previamente comprometida; el impacto es alto por tratarse de datos de registro completos.</t>
  </si>
  <si>
    <t>M-007, M-012</t>
  </si>
  <si>
    <t>Equipo de Infraestructura/DevOps</t>
  </si>
  <si>
    <t>Política IAM de mínimo privilegio documentada y revisada</t>
  </si>
  <si>
    <t>T03</t>
  </si>
  <si>
    <t>TLS ya está asumido en el diseño (WWWO-11/12), lo que reduce fuertemente la probabilidad; impacto moderado y detectable.</t>
  </si>
  <si>
    <t>Aceptar (con control mínimo)</t>
  </si>
  <si>
    <t>M-001, M-013</t>
  </si>
  <si>
    <t>Equipo de Backend</t>
  </si>
  <si>
    <t>Política de seguridad TLS 1.2+ y expiración corta de URL prefirmada</t>
  </si>
  <si>
    <t>Muy bajo</t>
  </si>
  <si>
    <t>T04</t>
  </si>
  <si>
    <t>Las disputas de facturación son un escenario frecuente en sistemas con cobros asociados; impacto moderado y mitigable con logs.</t>
  </si>
  <si>
    <t>M-004</t>
  </si>
  <si>
    <t>Detectivo</t>
  </si>
  <si>
    <t>Equipo de Backend/Cumplimiento</t>
  </si>
  <si>
    <t>Logs de acceso de API Gateway y CloudTrail habilitados con retención definida</t>
  </si>
  <si>
    <t>T05</t>
  </si>
  <si>
    <t>El ámbito de autorización compartido (WWWO-02) hace factible que cualquier usuario intente acceder a datos ajenos; impacto alto por exposición de datos de otras flotas.</t>
  </si>
  <si>
    <t>M-002, M-011</t>
  </si>
  <si>
    <t>Pruebas de autorización por flota (un usuario no puede leer vehículos de otra flota)</t>
  </si>
  <si>
    <t>T06</t>
  </si>
  <si>
    <t>El logging excesivo es un error de implementación frecuente; impacto moderado, limitado a quienes tienen acceso a CloudWatch.</t>
  </si>
  <si>
    <t>M-003, M-022</t>
  </si>
  <si>
    <t>Preventivo / Correctivo</t>
  </si>
  <si>
    <t>Revisión de código que confirme ausencia de datos sensibles en logs</t>
  </si>
  <si>
    <t>T07</t>
  </si>
  <si>
    <t>Flujos de solicitudes concurrentes son fáciles de generar; impacto moderado y recuperable.</t>
  </si>
  <si>
    <t>Mitigar / Transferir</t>
  </si>
  <si>
    <t>M-008, M-009, M-020</t>
  </si>
  <si>
    <t>Equipo de Infraestructura</t>
  </si>
  <si>
    <t>Usage plan de API Gateway y auto-scaling de DynamoDB configurados</t>
  </si>
  <si>
    <t>Bajo-Medio</t>
  </si>
  <si>
    <t>T08</t>
  </si>
  <si>
    <t>Requiere una política de bucket mal configurada específica; impacto alto por pérdida de documentos de cumplimiento.</t>
  </si>
  <si>
    <t>Aceptar (con control compensatorio)</t>
  </si>
  <si>
    <t>M-016, M-009</t>
  </si>
  <si>
    <t>Preventivo / Detectivo</t>
  </si>
  <si>
    <t>Versionado de S3 habilitado y política de bucket documentada</t>
  </si>
  <si>
    <t>T09</t>
  </si>
  <si>
    <t>Crítico</t>
  </si>
  <si>
    <t>Es una falla de diseño ya confirmada en los supuestos (WWWO-02/18): cualquier usuario autenticado puede explotarla sin conocimientos avanzados; impacto muy alto por afectar la disponibilidad operativa de vehículos.</t>
  </si>
  <si>
    <t>Mitigar (prioridad inmediata)</t>
  </si>
  <si>
    <t>M-010, M-011</t>
  </si>
  <si>
    <t>Equipo de Arquitectura/Backend</t>
  </si>
  <si>
    <t>Diseño de scopes documentado y pruebas de autorización negativas</t>
  </si>
  <si>
    <t>T10</t>
  </si>
  <si>
    <t>Requiere una política de recursos de IAM adicionalmente mal configurada; impacto muy alto porque omite toda la capa de autenticación.</t>
  </si>
  <si>
    <t>M-010, M-019</t>
  </si>
  <si>
    <t>Política de recursos de Lambda restringida al ARN del API Gateway y validación de JWT en código</t>
  </si>
  <si>
    <t>T11</t>
  </si>
  <si>
    <t>Requiere comprometer el dispositivo/navegador de la víctima; impacto alto por suplantación de identidad.</t>
  </si>
  <si>
    <t>M-014, M-015</t>
  </si>
  <si>
    <t>MFA habilitado en Cognito y expiración corta de tokens</t>
  </si>
  <si>
    <t>T12</t>
  </si>
  <si>
    <t>Requiere acceso administrativo interno privilegiado; impacto alto por pérdida de trazabilidad del registro.</t>
  </si>
  <si>
    <t>M-004, M-018</t>
  </si>
  <si>
    <t>DynamoDB Streams y CloudTrail data events configurados</t>
  </si>
  <si>
    <t>Bandas de riesgo (Probabilidad x Impacto):</t>
  </si>
  <si>
    <t>Bajo: 1-4</t>
  </si>
  <si>
    <t>Medio: 5-9</t>
  </si>
  <si>
    <t>Alto: 10-15</t>
  </si>
  <si>
    <t>Crítico: 16-25</t>
  </si>
  <si>
    <t>No. Mitigación</t>
  </si>
  <si>
    <t>Mitigación</t>
  </si>
  <si>
    <t>Amenazas que mitiga</t>
  </si>
  <si>
    <t>M-001</t>
  </si>
  <si>
    <t>Proteger los datos en tránsito (cifrado TLS en todas las comunicaciones)</t>
  </si>
  <si>
    <t>T01, T03, T11</t>
  </si>
  <si>
    <t>M-002</t>
  </si>
  <si>
    <t>Configurar las respuestas del API Gateway para retornar únicamente la información necesaria</t>
  </si>
  <si>
    <t>M-003</t>
  </si>
  <si>
    <t>Proteger datos sensibles en los logs de Amazon CloudWatch (evitar registrar información sensible, aplicar máscaras/redacción)</t>
  </si>
  <si>
    <t>Usar monitoreo y registro (logging) de AWS: CloudTrail y logs de acceso de API Gateway</t>
  </si>
  <si>
    <t>T04, T12</t>
  </si>
  <si>
    <t>M-005</t>
  </si>
  <si>
    <t>Validar todas las entradas (input validation) en la función Lambda</t>
  </si>
  <si>
    <t>T05, T09</t>
  </si>
  <si>
    <t>M-006</t>
  </si>
  <si>
    <t>Usar AWS Certificate Manager (ACM) para aprovisionar y gestionar certificados TLS/SSL</t>
  </si>
  <si>
    <t>M-007</t>
  </si>
  <si>
    <t>Gestionar el acceso a recursos críticos y aplicar permisos de mínimo privilegio</t>
  </si>
  <si>
    <t>T02, T07, T08</t>
  </si>
  <si>
    <t>M-008</t>
  </si>
  <si>
    <t>Usar AWS Shield para protección de infraestructura contra ataques de denegación de servicio (DDoS)</t>
  </si>
  <si>
    <t>T07, T08</t>
  </si>
  <si>
    <t>M-009</t>
  </si>
  <si>
    <t>Configurar capacidad on-demand / auto-scaling en DynamoDB y controles de tasa en S3</t>
  </si>
  <si>
    <t>M-010</t>
  </si>
  <si>
    <t>Implementar ámbitos de autorización (scopes) granulares por operación, validados en el autorizador del API Gateway y dentro de la función Lambda</t>
  </si>
  <si>
    <t>T09, T10</t>
  </si>
  <si>
    <t>M-011</t>
  </si>
  <si>
    <t>Implementar autorización a nivel de recurso (ownership-based) para que cada usuario solo acceda a los vehículos de su propia flota</t>
  </si>
  <si>
    <t>M-012</t>
  </si>
  <si>
    <t>Usar buenas prácticas de seguridad de IAM para gestionar el acceso a la cuenta y los recursos de AWS</t>
  </si>
  <si>
    <t>T02, T06, T07, T08</t>
  </si>
  <si>
    <t>M-013</t>
  </si>
  <si>
    <t>Limitar las capacidades de las URLs prefirmadas de S3 (tiempo de vida corto, alcance mínimo)</t>
  </si>
  <si>
    <t>M-014</t>
  </si>
  <si>
    <t>Usar Amazon Cognito para autenticar usuarios</t>
  </si>
  <si>
    <t>T09, T11</t>
  </si>
  <si>
    <t>M-015</t>
  </si>
  <si>
    <t>Usar mecanismos de inicio de sesión fuertes (MFA)</t>
  </si>
  <si>
    <t>M-016</t>
  </si>
  <si>
    <t>Usar Amazon Macie para descubrir y proteger datos sensibles almacenados en S3</t>
  </si>
  <si>
    <t>T03, T08</t>
  </si>
  <si>
    <t>M-017</t>
  </si>
  <si>
    <t>Usar AWS WAF y AWS Shield en el borde del API Gateway</t>
  </si>
  <si>
    <t>M-018</t>
  </si>
  <si>
    <t>Detectar cambios de configuración inesperados y comportamiento inesperado</t>
  </si>
  <si>
    <t>T10, T12</t>
  </si>
  <si>
    <t>M-019</t>
  </si>
  <si>
    <t>Configurar correctamente las integraciones de Lambda en el API Gateway (restringir la política de recursos de la función)</t>
  </si>
  <si>
    <t>M-020</t>
  </si>
  <si>
    <t>Limitar (throttle) las solicitudes a la API mediante usage plans</t>
  </si>
  <si>
    <t>M-021</t>
  </si>
  <si>
    <t>Usar controles detectivos para identificar amenazas o incidentes de seguridad potenciales</t>
  </si>
  <si>
    <t>T11, T12</t>
  </si>
  <si>
    <t>M-022</t>
  </si>
  <si>
    <t>Realizar gestión de vulnerabilidades sobre el código y las dependencias de la función Lambda</t>
  </si>
  <si>
    <t>T06, T10</t>
  </si>
  <si>
    <t>M-023</t>
  </si>
  <si>
    <t>Monitorear costos de forma proactiva (indicador temprano de abuso o denegación de servicio)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</si>
</sst>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charset val="1"/>
    </font>
    <font>
      <sz val="10"/>
      <name val="Arial"/>
      <family val="2"/>
    </font>
    <font>
      <b/>
      <sz val="9"/>
      <name val="Arial"/>
      <family val="2"/>
    </font>
    <font>
      <sz val="9"/>
      <name val="Arial"/>
      <family val="2"/>
    </font>
    <font>
      <b/>
      <sz val="1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FBDDBB"/>
        <bgColor rgb="FFFDF3D0"/>
      </patternFill>
    </fill>
    <fill>
      <patternFill patternType="solid">
        <fgColor rgb="FFFDF3D0"/>
        <bgColor rgb="FFFFFFFF"/>
      </patternFill>
    </fill>
    <fill>
      <patternFill patternType="solid">
        <fgColor rgb="FFD5EFDD"/>
        <bgColor rgb="FFCCFFFF"/>
      </patternFill>
    </fill>
    <fill>
      <patternFill patternType="solid">
        <fgColor rgb="FFF5B7B1"/>
        <bgColor rgb="FFFBDDBB"/>
      </patternFill>
    </fill>
    <fill>
      <patternFill patternType="solid">
        <fgColor rgb="FF00B050"/>
        <bgColor rgb="FF333399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1" xfId="0" applyFont="1" applyBorder="1" applyAlignment="1">
      <alignment vertical="top" wrapText="1"/>
    </xf>
    <xf numFmtId="0" fontId="1" fillId="2" borderId="1" xfId="0" applyFont="1" applyFill="1" applyBorder="1" applyAlignment="1">
      <alignment vertical="top" wrapText="1"/>
    </xf>
    <xf numFmtId="0" fontId="1" fillId="3" borderId="1" xfId="0" applyFont="1" applyFill="1" applyBorder="1" applyAlignment="1">
      <alignment vertical="top" wrapText="1"/>
    </xf>
    <xf numFmtId="0" fontId="1" fillId="4" borderId="1" xfId="0" applyFont="1" applyFill="1" applyBorder="1" applyAlignment="1">
      <alignment vertical="top" wrapText="1"/>
    </xf>
    <xf numFmtId="0" fontId="1" fillId="5" borderId="1" xfId="0" applyFont="1" applyFill="1" applyBorder="1" applyAlignment="1">
      <alignment vertical="top" wrapText="1"/>
    </xf>
    <xf numFmtId="0" fontId="2" fillId="0" borderId="0" xfId="0" applyFont="1"/>
    <xf numFmtId="0" fontId="3" fillId="4" borderId="0" xfId="0" applyFont="1" applyFill="1"/>
    <xf numFmtId="0" fontId="3" fillId="3" borderId="0" xfId="0" applyFont="1" applyFill="1"/>
    <xf numFmtId="0" fontId="3" fillId="2" borderId="0" xfId="0" applyFont="1" applyFill="1"/>
    <xf numFmtId="0" fontId="3" fillId="5" borderId="0" xfId="0" applyFont="1" applyFill="1"/>
    <xf numFmtId="0" fontId="4" fillId="6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DF3D0"/>
      <rgbColor rgb="FFCCFFFF"/>
      <rgbColor rgb="FF660066"/>
      <rgbColor rgb="FFFF8080"/>
      <rgbColor rgb="FF1F5C99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5EFDD"/>
      <rgbColor rgb="FFFFFF99"/>
      <rgbColor rgb="FF99CCFF"/>
      <rgbColor rgb="FFF5B7B1"/>
      <rgbColor rgb="FFCC99FF"/>
      <rgbColor rgb="FFFBDDBB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9"/>
  <sheetViews>
    <sheetView tabSelected="1" zoomScaleNormal="100" workbookViewId="0">
      <pane ySplit="1" topLeftCell="A2" activePane="bottomLeft" state="frozen"/>
      <selection pane="bottomLeft" activeCell="F22" sqref="F22"/>
    </sheetView>
  </sheetViews>
  <sheetFormatPr baseColWidth="10" defaultColWidth="8.6640625" defaultRowHeight="15" x14ac:dyDescent="0.2"/>
  <cols>
    <col min="1" max="1" width="10" customWidth="1"/>
    <col min="2" max="2" width="12" customWidth="1"/>
    <col min="3" max="5" width="10" customWidth="1"/>
    <col min="6" max="6" width="45" customWidth="1"/>
    <col min="7" max="8" width="16" customWidth="1"/>
    <col min="9" max="9" width="20" customWidth="1"/>
    <col min="10" max="10" width="22" customWidth="1"/>
    <col min="11" max="11" width="32" customWidth="1"/>
    <col min="12" max="12" width="12" customWidth="1"/>
  </cols>
  <sheetData>
    <row r="1" spans="1:12" ht="23.25" customHeight="1" x14ac:dyDescent="0.2">
      <c r="A1" s="11" t="s">
        <v>0</v>
      </c>
      <c r="B1" s="11" t="s">
        <v>1</v>
      </c>
      <c r="C1" s="11" t="s">
        <v>2</v>
      </c>
      <c r="D1" s="11" t="s">
        <v>3</v>
      </c>
      <c r="E1" s="11" t="s">
        <v>4</v>
      </c>
      <c r="F1" s="11" t="s">
        <v>5</v>
      </c>
      <c r="G1" s="11" t="s">
        <v>6</v>
      </c>
      <c r="H1" s="11" t="s">
        <v>7</v>
      </c>
      <c r="I1" s="11" t="s">
        <v>8</v>
      </c>
      <c r="J1" s="11" t="s">
        <v>9</v>
      </c>
      <c r="K1" s="11" t="s">
        <v>10</v>
      </c>
      <c r="L1" s="11" t="s">
        <v>11</v>
      </c>
    </row>
    <row r="2" spans="1:12" ht="34.5" customHeight="1" x14ac:dyDescent="0.2">
      <c r="A2" s="1" t="s">
        <v>12</v>
      </c>
      <c r="B2" s="1">
        <v>3</v>
      </c>
      <c r="C2" s="1">
        <v>4</v>
      </c>
      <c r="D2" s="2">
        <f t="shared" ref="D2:D13" si="0">B2*C2</f>
        <v>12</v>
      </c>
      <c r="E2" s="2" t="s">
        <v>13</v>
      </c>
      <c r="F2" s="1" t="s">
        <v>14</v>
      </c>
      <c r="G2" s="1" t="s">
        <v>15</v>
      </c>
      <c r="H2" s="1" t="s">
        <v>16</v>
      </c>
      <c r="I2" s="1" t="s">
        <v>17</v>
      </c>
      <c r="J2" s="1" t="s">
        <v>18</v>
      </c>
      <c r="K2" s="1" t="s">
        <v>19</v>
      </c>
      <c r="L2" s="1" t="s">
        <v>20</v>
      </c>
    </row>
    <row r="3" spans="1:12" ht="34.5" customHeight="1" x14ac:dyDescent="0.2">
      <c r="A3" s="1" t="s">
        <v>21</v>
      </c>
      <c r="B3" s="1">
        <v>2</v>
      </c>
      <c r="C3" s="1">
        <v>4</v>
      </c>
      <c r="D3" s="3">
        <f t="shared" si="0"/>
        <v>8</v>
      </c>
      <c r="E3" s="3" t="s">
        <v>22</v>
      </c>
      <c r="F3" s="1" t="s">
        <v>23</v>
      </c>
      <c r="G3" s="1" t="s">
        <v>15</v>
      </c>
      <c r="H3" s="1" t="s">
        <v>24</v>
      </c>
      <c r="I3" s="1" t="s">
        <v>17</v>
      </c>
      <c r="J3" s="1" t="s">
        <v>25</v>
      </c>
      <c r="K3" s="1" t="s">
        <v>26</v>
      </c>
      <c r="L3" s="1" t="s">
        <v>20</v>
      </c>
    </row>
    <row r="4" spans="1:12" ht="34.5" customHeight="1" x14ac:dyDescent="0.2">
      <c r="A4" s="1" t="s">
        <v>27</v>
      </c>
      <c r="B4" s="1">
        <v>1</v>
      </c>
      <c r="C4" s="1">
        <v>3</v>
      </c>
      <c r="D4" s="4">
        <f t="shared" si="0"/>
        <v>3</v>
      </c>
      <c r="E4" s="4" t="s">
        <v>20</v>
      </c>
      <c r="F4" s="1" t="s">
        <v>28</v>
      </c>
      <c r="G4" s="1" t="s">
        <v>29</v>
      </c>
      <c r="H4" s="1" t="s">
        <v>30</v>
      </c>
      <c r="I4" s="1" t="s">
        <v>17</v>
      </c>
      <c r="J4" s="1" t="s">
        <v>31</v>
      </c>
      <c r="K4" s="1" t="s">
        <v>32</v>
      </c>
      <c r="L4" s="1" t="s">
        <v>33</v>
      </c>
    </row>
    <row r="5" spans="1:12" ht="34.5" customHeight="1" x14ac:dyDescent="0.2">
      <c r="A5" s="1" t="s">
        <v>34</v>
      </c>
      <c r="B5" s="1">
        <v>3</v>
      </c>
      <c r="C5" s="1">
        <v>3</v>
      </c>
      <c r="D5" s="3">
        <f t="shared" si="0"/>
        <v>9</v>
      </c>
      <c r="E5" s="3" t="s">
        <v>22</v>
      </c>
      <c r="F5" s="1" t="s">
        <v>35</v>
      </c>
      <c r="G5" s="1" t="s">
        <v>15</v>
      </c>
      <c r="H5" s="1" t="s">
        <v>36</v>
      </c>
      <c r="I5" s="1" t="s">
        <v>37</v>
      </c>
      <c r="J5" s="1" t="s">
        <v>38</v>
      </c>
      <c r="K5" s="1" t="s">
        <v>39</v>
      </c>
      <c r="L5" s="1" t="s">
        <v>20</v>
      </c>
    </row>
    <row r="6" spans="1:12" ht="45.75" customHeight="1" x14ac:dyDescent="0.2">
      <c r="A6" s="1" t="s">
        <v>40</v>
      </c>
      <c r="B6" s="1">
        <v>3</v>
      </c>
      <c r="C6" s="1">
        <v>4</v>
      </c>
      <c r="D6" s="2">
        <f t="shared" si="0"/>
        <v>12</v>
      </c>
      <c r="E6" s="2" t="s">
        <v>13</v>
      </c>
      <c r="F6" s="1" t="s">
        <v>41</v>
      </c>
      <c r="G6" s="1" t="s">
        <v>15</v>
      </c>
      <c r="H6" s="1" t="s">
        <v>42</v>
      </c>
      <c r="I6" s="1" t="s">
        <v>17</v>
      </c>
      <c r="J6" s="1" t="s">
        <v>31</v>
      </c>
      <c r="K6" s="1" t="s">
        <v>43</v>
      </c>
      <c r="L6" s="1" t="s">
        <v>20</v>
      </c>
    </row>
    <row r="7" spans="1:12" ht="34.5" customHeight="1" x14ac:dyDescent="0.2">
      <c r="A7" s="1" t="s">
        <v>44</v>
      </c>
      <c r="B7" s="1">
        <v>3</v>
      </c>
      <c r="C7" s="1">
        <v>3</v>
      </c>
      <c r="D7" s="3">
        <f t="shared" si="0"/>
        <v>9</v>
      </c>
      <c r="E7" s="3" t="s">
        <v>22</v>
      </c>
      <c r="F7" s="1" t="s">
        <v>45</v>
      </c>
      <c r="G7" s="1" t="s">
        <v>15</v>
      </c>
      <c r="H7" s="1" t="s">
        <v>46</v>
      </c>
      <c r="I7" s="1" t="s">
        <v>47</v>
      </c>
      <c r="J7" s="1" t="s">
        <v>31</v>
      </c>
      <c r="K7" s="1" t="s">
        <v>48</v>
      </c>
      <c r="L7" s="1" t="s">
        <v>20</v>
      </c>
    </row>
    <row r="8" spans="1:12" ht="23.25" customHeight="1" x14ac:dyDescent="0.2">
      <c r="A8" s="1" t="s">
        <v>49</v>
      </c>
      <c r="B8" s="1">
        <v>3</v>
      </c>
      <c r="C8" s="1">
        <v>3</v>
      </c>
      <c r="D8" s="3">
        <f t="shared" si="0"/>
        <v>9</v>
      </c>
      <c r="E8" s="3" t="s">
        <v>22</v>
      </c>
      <c r="F8" s="1" t="s">
        <v>50</v>
      </c>
      <c r="G8" s="1" t="s">
        <v>51</v>
      </c>
      <c r="H8" s="1" t="s">
        <v>52</v>
      </c>
      <c r="I8" s="1" t="s">
        <v>17</v>
      </c>
      <c r="J8" s="1" t="s">
        <v>53</v>
      </c>
      <c r="K8" s="1" t="s">
        <v>54</v>
      </c>
      <c r="L8" s="1" t="s">
        <v>55</v>
      </c>
    </row>
    <row r="9" spans="1:12" ht="34.5" customHeight="1" x14ac:dyDescent="0.2">
      <c r="A9" s="1" t="s">
        <v>56</v>
      </c>
      <c r="B9" s="1">
        <v>1</v>
      </c>
      <c r="C9" s="1">
        <v>4</v>
      </c>
      <c r="D9" s="4">
        <f t="shared" si="0"/>
        <v>4</v>
      </c>
      <c r="E9" s="4" t="s">
        <v>20</v>
      </c>
      <c r="F9" s="1" t="s">
        <v>57</v>
      </c>
      <c r="G9" s="1" t="s">
        <v>58</v>
      </c>
      <c r="H9" s="1" t="s">
        <v>59</v>
      </c>
      <c r="I9" s="1" t="s">
        <v>60</v>
      </c>
      <c r="J9" s="1" t="s">
        <v>53</v>
      </c>
      <c r="K9" s="1" t="s">
        <v>61</v>
      </c>
      <c r="L9" s="1" t="s">
        <v>20</v>
      </c>
    </row>
    <row r="10" spans="1:12" ht="45.75" customHeight="1" x14ac:dyDescent="0.2">
      <c r="A10" s="1" t="s">
        <v>62</v>
      </c>
      <c r="B10" s="1">
        <v>4</v>
      </c>
      <c r="C10" s="1">
        <v>5</v>
      </c>
      <c r="D10" s="5">
        <f t="shared" si="0"/>
        <v>20</v>
      </c>
      <c r="E10" s="5" t="s">
        <v>63</v>
      </c>
      <c r="F10" s="1" t="s">
        <v>64</v>
      </c>
      <c r="G10" s="1" t="s">
        <v>65</v>
      </c>
      <c r="H10" s="1" t="s">
        <v>66</v>
      </c>
      <c r="I10" s="1" t="s">
        <v>17</v>
      </c>
      <c r="J10" s="1" t="s">
        <v>67</v>
      </c>
      <c r="K10" s="1" t="s">
        <v>68</v>
      </c>
      <c r="L10" s="1" t="s">
        <v>20</v>
      </c>
    </row>
    <row r="11" spans="1:12" ht="34.5" customHeight="1" x14ac:dyDescent="0.2">
      <c r="A11" s="1" t="s">
        <v>69</v>
      </c>
      <c r="B11" s="1">
        <v>2</v>
      </c>
      <c r="C11" s="1">
        <v>5</v>
      </c>
      <c r="D11" s="2">
        <f t="shared" si="0"/>
        <v>10</v>
      </c>
      <c r="E11" s="2" t="s">
        <v>13</v>
      </c>
      <c r="F11" s="1" t="s">
        <v>70</v>
      </c>
      <c r="G11" s="1" t="s">
        <v>15</v>
      </c>
      <c r="H11" s="1" t="s">
        <v>71</v>
      </c>
      <c r="I11" s="1" t="s">
        <v>17</v>
      </c>
      <c r="J11" s="1" t="s">
        <v>31</v>
      </c>
      <c r="K11" s="1" t="s">
        <v>72</v>
      </c>
      <c r="L11" s="1" t="s">
        <v>20</v>
      </c>
    </row>
    <row r="12" spans="1:12" ht="23.25" customHeight="1" x14ac:dyDescent="0.2">
      <c r="A12" s="1" t="s">
        <v>73</v>
      </c>
      <c r="B12" s="1">
        <v>2</v>
      </c>
      <c r="C12" s="1">
        <v>4</v>
      </c>
      <c r="D12" s="3">
        <f t="shared" si="0"/>
        <v>8</v>
      </c>
      <c r="E12" s="3" t="s">
        <v>22</v>
      </c>
      <c r="F12" s="1" t="s">
        <v>74</v>
      </c>
      <c r="G12" s="1" t="s">
        <v>15</v>
      </c>
      <c r="H12" s="1" t="s">
        <v>75</v>
      </c>
      <c r="I12" s="1" t="s">
        <v>17</v>
      </c>
      <c r="J12" s="1" t="s">
        <v>18</v>
      </c>
      <c r="K12" s="1" t="s">
        <v>76</v>
      </c>
      <c r="L12" s="1" t="s">
        <v>20</v>
      </c>
    </row>
    <row r="13" spans="1:12" ht="23.25" customHeight="1" x14ac:dyDescent="0.2">
      <c r="A13" s="1" t="s">
        <v>77</v>
      </c>
      <c r="B13" s="1">
        <v>2</v>
      </c>
      <c r="C13" s="1">
        <v>4</v>
      </c>
      <c r="D13" s="3">
        <f t="shared" si="0"/>
        <v>8</v>
      </c>
      <c r="E13" s="3" t="s">
        <v>22</v>
      </c>
      <c r="F13" s="1" t="s">
        <v>78</v>
      </c>
      <c r="G13" s="1" t="s">
        <v>15</v>
      </c>
      <c r="H13" s="1" t="s">
        <v>79</v>
      </c>
      <c r="I13" s="1" t="s">
        <v>37</v>
      </c>
      <c r="J13" s="1" t="s">
        <v>53</v>
      </c>
      <c r="K13" s="1" t="s">
        <v>80</v>
      </c>
      <c r="L13" s="1" t="s">
        <v>55</v>
      </c>
    </row>
    <row r="15" spans="1:12" ht="15" customHeight="1" x14ac:dyDescent="0.2">
      <c r="A15" s="6" t="s">
        <v>81</v>
      </c>
    </row>
    <row r="16" spans="1:12" ht="15" customHeight="1" x14ac:dyDescent="0.2">
      <c r="A16" s="7" t="s">
        <v>82</v>
      </c>
    </row>
    <row r="17" spans="1:1" ht="15" customHeight="1" x14ac:dyDescent="0.2">
      <c r="A17" s="8" t="s">
        <v>83</v>
      </c>
    </row>
    <row r="18" spans="1:1" ht="15" customHeight="1" x14ac:dyDescent="0.2">
      <c r="A18" s="9" t="s">
        <v>84</v>
      </c>
    </row>
    <row r="19" spans="1:1" ht="15" customHeight="1" x14ac:dyDescent="0.2">
      <c r="A19" s="10" t="s">
        <v>85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24"/>
  <sheetViews>
    <sheetView zoomScaleNormal="100" workbookViewId="0">
      <pane ySplit="1" topLeftCell="A2" activePane="bottomLeft" state="frozen"/>
      <selection pane="bottomLeft" activeCell="H13" sqref="H13"/>
    </sheetView>
  </sheetViews>
  <sheetFormatPr baseColWidth="10" defaultColWidth="8.6640625" defaultRowHeight="15" x14ac:dyDescent="0.2"/>
  <cols>
    <col min="1" max="1" width="16" customWidth="1"/>
    <col min="2" max="2" width="60" customWidth="1"/>
    <col min="3" max="3" width="20" customWidth="1"/>
  </cols>
  <sheetData>
    <row r="1" spans="1:3" ht="15" customHeight="1" x14ac:dyDescent="0.2">
      <c r="A1" s="11" t="s">
        <v>86</v>
      </c>
      <c r="B1" s="11" t="s">
        <v>87</v>
      </c>
      <c r="C1" s="11" t="s">
        <v>88</v>
      </c>
    </row>
    <row r="2" spans="1:3" ht="15" customHeight="1" x14ac:dyDescent="0.2">
      <c r="A2" s="1" t="s">
        <v>89</v>
      </c>
      <c r="B2" s="1" t="s">
        <v>90</v>
      </c>
      <c r="C2" s="1" t="s">
        <v>91</v>
      </c>
    </row>
    <row r="3" spans="1:3" ht="23.25" customHeight="1" x14ac:dyDescent="0.2">
      <c r="A3" s="1" t="s">
        <v>92</v>
      </c>
      <c r="B3" s="1" t="s">
        <v>93</v>
      </c>
      <c r="C3" s="1" t="s">
        <v>40</v>
      </c>
    </row>
    <row r="4" spans="1:3" ht="23.25" customHeight="1" x14ac:dyDescent="0.2">
      <c r="A4" s="1" t="s">
        <v>94</v>
      </c>
      <c r="B4" s="1" t="s">
        <v>95</v>
      </c>
      <c r="C4" s="1" t="s">
        <v>44</v>
      </c>
    </row>
    <row r="5" spans="1:3" ht="23.25" customHeight="1" x14ac:dyDescent="0.2">
      <c r="A5" s="1" t="s">
        <v>36</v>
      </c>
      <c r="B5" s="1" t="s">
        <v>96</v>
      </c>
      <c r="C5" s="1" t="s">
        <v>97</v>
      </c>
    </row>
    <row r="6" spans="1:3" ht="15" customHeight="1" x14ac:dyDescent="0.2">
      <c r="A6" s="1" t="s">
        <v>98</v>
      </c>
      <c r="B6" s="1" t="s">
        <v>99</v>
      </c>
      <c r="C6" s="1" t="s">
        <v>100</v>
      </c>
    </row>
    <row r="7" spans="1:3" ht="23.25" customHeight="1" x14ac:dyDescent="0.2">
      <c r="A7" s="1" t="s">
        <v>101</v>
      </c>
      <c r="B7" s="1" t="s">
        <v>102</v>
      </c>
      <c r="C7" s="1" t="s">
        <v>12</v>
      </c>
    </row>
    <row r="8" spans="1:3" ht="23.25" customHeight="1" x14ac:dyDescent="0.2">
      <c r="A8" s="1" t="s">
        <v>103</v>
      </c>
      <c r="B8" s="1" t="s">
        <v>104</v>
      </c>
      <c r="C8" s="1" t="s">
        <v>105</v>
      </c>
    </row>
    <row r="9" spans="1:3" ht="23.25" customHeight="1" x14ac:dyDescent="0.2">
      <c r="A9" s="1" t="s">
        <v>106</v>
      </c>
      <c r="B9" s="1" t="s">
        <v>107</v>
      </c>
      <c r="C9" s="1" t="s">
        <v>108</v>
      </c>
    </row>
    <row r="10" spans="1:3" ht="23.25" customHeight="1" x14ac:dyDescent="0.2">
      <c r="A10" s="1" t="s">
        <v>109</v>
      </c>
      <c r="B10" s="1" t="s">
        <v>110</v>
      </c>
      <c r="C10" s="1" t="s">
        <v>108</v>
      </c>
    </row>
    <row r="11" spans="1:3" ht="34.5" customHeight="1" x14ac:dyDescent="0.2">
      <c r="A11" s="1" t="s">
        <v>111</v>
      </c>
      <c r="B11" s="1" t="s">
        <v>112</v>
      </c>
      <c r="C11" s="1" t="s">
        <v>113</v>
      </c>
    </row>
    <row r="12" spans="1:3" ht="23.25" customHeight="1" x14ac:dyDescent="0.2">
      <c r="A12" s="1" t="s">
        <v>114</v>
      </c>
      <c r="B12" s="1" t="s">
        <v>115</v>
      </c>
      <c r="C12" s="1" t="s">
        <v>100</v>
      </c>
    </row>
    <row r="13" spans="1:3" ht="23.25" customHeight="1" x14ac:dyDescent="0.2">
      <c r="A13" s="1" t="s">
        <v>116</v>
      </c>
      <c r="B13" s="1" t="s">
        <v>117</v>
      </c>
      <c r="C13" s="1" t="s">
        <v>118</v>
      </c>
    </row>
    <row r="14" spans="1:3" ht="23.25" customHeight="1" x14ac:dyDescent="0.2">
      <c r="A14" s="1" t="s">
        <v>119</v>
      </c>
      <c r="B14" s="1" t="s">
        <v>120</v>
      </c>
      <c r="C14" s="1" t="s">
        <v>27</v>
      </c>
    </row>
    <row r="15" spans="1:3" ht="15" customHeight="1" x14ac:dyDescent="0.2">
      <c r="A15" s="1" t="s">
        <v>121</v>
      </c>
      <c r="B15" s="1" t="s">
        <v>122</v>
      </c>
      <c r="C15" s="1" t="s">
        <v>123</v>
      </c>
    </row>
    <row r="16" spans="1:3" ht="15" customHeight="1" x14ac:dyDescent="0.2">
      <c r="A16" s="1" t="s">
        <v>124</v>
      </c>
      <c r="B16" s="1" t="s">
        <v>125</v>
      </c>
      <c r="C16" s="1" t="s">
        <v>73</v>
      </c>
    </row>
    <row r="17" spans="1:3" ht="23.25" customHeight="1" x14ac:dyDescent="0.2">
      <c r="A17" s="1" t="s">
        <v>126</v>
      </c>
      <c r="B17" s="1" t="s">
        <v>127</v>
      </c>
      <c r="C17" s="1" t="s">
        <v>128</v>
      </c>
    </row>
    <row r="18" spans="1:3" ht="15" customHeight="1" x14ac:dyDescent="0.2">
      <c r="A18" s="1" t="s">
        <v>129</v>
      </c>
      <c r="B18" s="1" t="s">
        <v>130</v>
      </c>
      <c r="C18" s="1" t="s">
        <v>108</v>
      </c>
    </row>
    <row r="19" spans="1:3" ht="23.25" customHeight="1" x14ac:dyDescent="0.2">
      <c r="A19" s="1" t="s">
        <v>131</v>
      </c>
      <c r="B19" s="1" t="s">
        <v>132</v>
      </c>
      <c r="C19" s="1" t="s">
        <v>133</v>
      </c>
    </row>
    <row r="20" spans="1:3" ht="23.25" customHeight="1" x14ac:dyDescent="0.2">
      <c r="A20" s="1" t="s">
        <v>134</v>
      </c>
      <c r="B20" s="1" t="s">
        <v>135</v>
      </c>
      <c r="C20" s="1" t="s">
        <v>69</v>
      </c>
    </row>
    <row r="21" spans="1:3" ht="15" customHeight="1" x14ac:dyDescent="0.2">
      <c r="A21" s="1" t="s">
        <v>136</v>
      </c>
      <c r="B21" s="1" t="s">
        <v>137</v>
      </c>
      <c r="C21" s="1" t="s">
        <v>108</v>
      </c>
    </row>
    <row r="22" spans="1:3" ht="23.25" customHeight="1" x14ac:dyDescent="0.2">
      <c r="A22" s="1" t="s">
        <v>138</v>
      </c>
      <c r="B22" s="1" t="s">
        <v>139</v>
      </c>
      <c r="C22" s="1" t="s">
        <v>140</v>
      </c>
    </row>
    <row r="23" spans="1:3" ht="23.25" customHeight="1" x14ac:dyDescent="0.2">
      <c r="A23" s="1" t="s">
        <v>141</v>
      </c>
      <c r="B23" s="1" t="s">
        <v>142</v>
      </c>
      <c r="C23" s="1" t="s">
        <v>143</v>
      </c>
    </row>
    <row r="24" spans="1:3" ht="23.25" customHeight="1" x14ac:dyDescent="0.2">
      <c r="A24" s="1" t="s">
        <v>144</v>
      </c>
      <c r="B24" s="1" t="s">
        <v>145</v>
      </c>
      <c r="C24" s="1" t="s">
        <v>108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Riesgo_y_Tratamiento</vt:lpstr>
      <vt:lpstr>Catálogo_Mitigaciones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JOSE LUIS LANCHEROS AYORA</cp:lastModifiedBy>
  <cp:revision>0</cp:revision>
  <dcterms:created xsi:type="dcterms:W3CDTF">2026-08-31T19:01:46Z</dcterms:created>
  <dcterms:modified xsi:type="dcterms:W3CDTF">2026-09-02T01:10:50Z</dcterms:modified>
  <dc:language>en-US</dc:language>
</cp:coreProperties>
</file>